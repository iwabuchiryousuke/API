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取引" sheetId="1" state="visible" r:id="rId3"/>
    <sheet name="配当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<sst xmlns="http://schemas.openxmlformats.org/spreadsheetml/2006/main" count="129" uniqueCount="57">
  <si>
    <t xml:space="preserve">日付</t>
  </si>
  <si>
    <t xml:space="preserve">口座</t>
  </si>
  <si>
    <t xml:space="preserve">銘柄</t>
  </si>
  <si>
    <t xml:space="preserve">コード</t>
  </si>
  <si>
    <t xml:space="preserve">預り</t>
  </si>
  <si>
    <t xml:space="preserve">売買</t>
  </si>
  <si>
    <t xml:space="preserve">数量</t>
  </si>
  <si>
    <t xml:space="preserve">単価（円）</t>
  </si>
  <si>
    <t xml:space="preserve">約定・受取額（円）</t>
  </si>
  <si>
    <t xml:space="preserve">手数料・税額（円）</t>
  </si>
  <si>
    <t xml:space="preserve">保有株数</t>
  </si>
  <si>
    <t xml:space="preserve">平均取得単価</t>
  </si>
  <si>
    <t xml:space="preserve">確定損益</t>
  </si>
  <si>
    <t xml:space="preserve">成長枠残高</t>
  </si>
  <si>
    <t xml:space="preserve">積立枠残高</t>
  </si>
  <si>
    <r>
      <rPr>
        <sz val="12"/>
        <rFont val="Noto Sans CJK SC"/>
        <family val="2"/>
      </rPr>
      <t xml:space="preserve">現金</t>
    </r>
    <r>
      <rPr>
        <sz val="12"/>
        <rFont val="ＭＳ Ｐゴシック"/>
        <family val="0"/>
        <charset val="1"/>
      </rPr>
      <t xml:space="preserve">(</t>
    </r>
    <r>
      <rPr>
        <sz val="12"/>
        <rFont val="Noto Sans CJK SC"/>
        <family val="2"/>
      </rPr>
      <t xml:space="preserve">円</t>
    </r>
    <r>
      <rPr>
        <sz val="12"/>
        <rFont val="ＭＳ Ｐゴシック"/>
        <family val="0"/>
        <charset val="1"/>
      </rPr>
      <t xml:space="preserve">)</t>
    </r>
  </si>
  <si>
    <r>
      <rPr>
        <sz val="12"/>
        <rFont val="Noto Sans CJK SC"/>
        <family val="2"/>
      </rPr>
      <t xml:space="preserve">現金</t>
    </r>
    <r>
      <rPr>
        <sz val="12"/>
        <rFont val="ＭＳ Ｐゴシック"/>
        <family val="0"/>
        <charset val="1"/>
      </rPr>
      <t xml:space="preserve">(</t>
    </r>
    <r>
      <rPr>
        <sz val="12"/>
        <rFont val="Noto Sans CJK SC"/>
        <family val="2"/>
      </rPr>
      <t xml:space="preserve">ドル</t>
    </r>
    <r>
      <rPr>
        <sz val="12"/>
        <rFont val="ＭＳ Ｐゴシック"/>
        <family val="0"/>
        <charset val="1"/>
      </rPr>
      <t xml:space="preserve">)</t>
    </r>
  </si>
  <si>
    <t xml:space="preserve">Account A</t>
  </si>
  <si>
    <t xml:space="preserve">Missing History Security</t>
  </si>
  <si>
    <r>
      <rPr>
        <sz val="12"/>
        <rFont val="ＭＳ Ｐゴシック"/>
        <family val="0"/>
        <charset val="1"/>
      </rPr>
      <t xml:space="preserve">N-</t>
    </r>
    <r>
      <rPr>
        <sz val="12"/>
        <rFont val="Noto Sans CJK SC"/>
        <family val="2"/>
      </rPr>
      <t xml:space="preserve">成</t>
    </r>
  </si>
  <si>
    <t xml:space="preserve">S</t>
  </si>
  <si>
    <t xml:space="preserve">Example Security</t>
  </si>
  <si>
    <t xml:space="preserve">Account B</t>
  </si>
  <si>
    <t xml:space="preserve">B</t>
  </si>
  <si>
    <t xml:space="preserve">Account C</t>
  </si>
  <si>
    <t xml:space="preserve">Account D</t>
  </si>
  <si>
    <t xml:space="preserve">Fund Quote Unit Security</t>
  </si>
  <si>
    <t xml:space="preserve">Account E</t>
  </si>
  <si>
    <t xml:space="preserve">Daily Ordering Security</t>
  </si>
  <si>
    <t xml:space="preserve">分類</t>
  </si>
  <si>
    <t xml:space="preserve">受取額（円）</t>
  </si>
  <si>
    <t xml:space="preserve">権利付き最終日</t>
  </si>
  <si>
    <t xml:space="preserve">配当金支払日</t>
  </si>
  <si>
    <t xml:space="preserve">本決算発表日</t>
  </si>
  <si>
    <t xml:space="preserve">株数</t>
  </si>
  <si>
    <t xml:space="preserve">DPS</t>
  </si>
  <si>
    <t xml:space="preserve">配当利回り</t>
  </si>
  <si>
    <t xml:space="preserve">実績</t>
  </si>
  <si>
    <r>
      <rPr>
        <sz val="12"/>
        <rFont val="Noto Sans CJK SC"/>
        <family val="2"/>
      </rPr>
      <t xml:space="preserve">予想</t>
    </r>
    <r>
      <rPr>
        <sz val="12"/>
        <rFont val="ＭＳ Ｐゴシック"/>
        <family val="0"/>
        <charset val="1"/>
      </rPr>
      <t xml:space="preserve">(</t>
    </r>
    <r>
      <rPr>
        <sz val="12"/>
        <rFont val="Noto Sans CJK SC"/>
        <family val="2"/>
      </rPr>
      <t xml:space="preserve">税引後</t>
    </r>
    <r>
      <rPr>
        <sz val="12"/>
        <rFont val="ＭＳ Ｐゴシック"/>
        <family val="0"/>
        <charset val="1"/>
      </rPr>
      <t xml:space="preserve">)</t>
    </r>
  </si>
  <si>
    <t xml:space="preserve">年間予想</t>
  </si>
  <si>
    <t xml:space="preserve">累計配当金</t>
  </si>
  <si>
    <t xml:space="preserve">確認状態</t>
  </si>
  <si>
    <t xml:space="preserve">前月末日終値</t>
  </si>
  <si>
    <r>
      <rPr>
        <sz val="12"/>
        <rFont val="Noto Sans CJK SC"/>
        <family val="2"/>
      </rPr>
      <t xml:space="preserve">今月</t>
    </r>
    <r>
      <rPr>
        <sz val="12"/>
        <rFont val="ＭＳ Ｐゴシック"/>
        <family val="0"/>
        <charset val="1"/>
      </rPr>
      <t xml:space="preserve">1</t>
    </r>
    <r>
      <rPr>
        <sz val="12"/>
        <rFont val="Noto Sans CJK SC"/>
        <family val="2"/>
      </rPr>
      <t xml:space="preserve">日終値</t>
    </r>
  </si>
  <si>
    <t xml:space="preserve">利息</t>
  </si>
  <si>
    <t xml:space="preserve">2026/10/27</t>
  </si>
  <si>
    <t xml:space="preserve">2026/11/10</t>
  </si>
  <si>
    <t xml:space="preserve">2026/11/11</t>
  </si>
  <si>
    <t xml:space="preserve">予定・株価の未確認項目は空欄</t>
  </si>
  <si>
    <t xml:space="preserve">税還</t>
  </si>
  <si>
    <r>
      <rPr>
        <sz val="12"/>
        <rFont val="Noto Sans CJK SC"/>
        <family val="2"/>
      </rPr>
      <t xml:space="preserve">予定・株価の未確認項目は空欄／前月末終値未確認／今月</t>
    </r>
    <r>
      <rPr>
        <sz val="12"/>
        <rFont val="ＭＳ Ｐゴシック"/>
        <family val="0"/>
        <charset val="1"/>
      </rPr>
      <t xml:space="preserve">1</t>
    </r>
    <r>
      <rPr>
        <sz val="12"/>
        <rFont val="Noto Sans CJK SC"/>
        <family val="2"/>
      </rPr>
      <t xml:space="preserve">日終値未確認</t>
    </r>
  </si>
  <si>
    <t xml:space="preserve">配当</t>
  </si>
  <si>
    <t xml:space="preserve">合計</t>
  </si>
  <si>
    <t xml:space="preserve">年</t>
  </si>
  <si>
    <t xml:space="preserve">累計</t>
  </si>
  <si>
    <t xml:space="preserve">総計</t>
  </si>
  <si>
    <t xml:space="preserve">カレンダー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</si>
</sst>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[RED]\-#,##0;0"/>
    <numFmt numFmtId="166" formatCode="yyyy/mm/dd"/>
    <numFmt numFmtId="167" formatCode="#,##0.########"/>
    <numFmt numFmtId="168" formatCode="[RED]\+#,##0;[BLUE]\-#,##0;0"/>
    <numFmt numFmtId="169" formatCode="#,##0.00;[RED]\-#,##0.00;0.00"/>
    <numFmt numFmtId="170" formatCode="0.00%;[RED]\-0.00%;0.00%"/>
    <numFmt numFmtId="171" formatCode="0\年"/>
    <numFmt numFmtId="172" formatCode="#,##0&quot;（実績）&quot;"/>
    <numFmt numFmtId="173" formatCode="#,##0&quot;（予想）&quot;"/>
  </numFmts>
  <fonts count="6">
    <font>
      <sz val="12"/>
      <name val="ＭＳ Ｐゴシック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Noto Sans CJK SC"/>
      <family val="2"/>
    </font>
    <font>
      <sz val="12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CE4D6"/>
        <bgColor rgb="FFDDEBF7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5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5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5078125" defaultRowHeight="24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9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3" min="12" style="0" width="16"/>
    <col collapsed="false" customWidth="true" hidden="false" outlineLevel="0" max="14" min="14" style="0" width="3"/>
    <col collapsed="false" customWidth="true" hidden="false" outlineLevel="0" max="15" min="15" style="0" width="16"/>
    <col collapsed="false" customWidth="true" hidden="false" outlineLevel="0" max="17" min="16" style="0" width="14"/>
    <col collapsed="false" customWidth="true" hidden="false" outlineLevel="0" max="19" min="18" style="0" width="18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O1" s="3" t="n">
        <v>46324</v>
      </c>
      <c r="P1" s="2" t="s">
        <v>13</v>
      </c>
      <c r="Q1" s="2" t="s">
        <v>14</v>
      </c>
      <c r="R1" s="2" t="s">
        <v>15</v>
      </c>
      <c r="S1" s="2" t="s">
        <v>16</v>
      </c>
    </row>
    <row r="2" customFormat="false" ht="36" hidden="false" customHeight="true" outlineLevel="0" collapsed="false">
      <c r="A2" s="4" t="n">
        <v>46301</v>
      </c>
      <c r="B2" s="5" t="s">
        <v>17</v>
      </c>
      <c r="C2" s="5" t="s">
        <v>18</v>
      </c>
      <c r="D2" s="6" t="n">
        <v>9901</v>
      </c>
      <c r="E2" s="5" t="s">
        <v>19</v>
      </c>
      <c r="F2" s="5" t="s">
        <v>20</v>
      </c>
      <c r="G2" s="7" t="n">
        <v>1</v>
      </c>
      <c r="H2" s="8" t="n">
        <v>200</v>
      </c>
      <c r="I2" s="7" t="n">
        <v>200</v>
      </c>
      <c r="J2" s="7" t="n">
        <v>0</v>
      </c>
      <c r="K2" s="9" t="n">
        <f aca="false">IF(A2="","",SUMIFS(G2:$G$10000,B2:$B$10000,"="&amp;SUBSTITUTE(SUBSTITUTE(SUBSTITUTE(B2,"~","~~"),"*","~*"),"?","~?"),D2:$D$10000,"="&amp;SUBSTITUTE(SUBSTITUTE(SUBSTITUTE(D2,"~","~~"),"*","~*"),"?","~?"),E2:$E$10000,"="&amp;SUBSTITUTE(SUBSTITUTE(SUBSTITUTE(E2,"~","~~"),"*","~*"),"?","~?"),F2:$F$10000,"B")-SUMIFS(G2:$G$10000,B2:$B$10000,"="&amp;SUBSTITUTE(SUBSTITUTE(SUBSTITUTE(B2,"~","~~"),"*","~*"),"?","~?"),D2:$D$10000,"="&amp;SUBSTITUTE(SUBSTITUTE(SUBSTITUTE(D2,"~","~~"),"*","~*"),"?","~?"),E2:$E$10000,"="&amp;SUBSTITUTE(SUBSTITUTE(SUBSTITUTE(E2,"~","~~"),"*","~*"),"?","~?"),F2:$F$10000,"S"))</f>
        <v>-1</v>
      </c>
      <c r="L2" s="9" t="str">
        <f aca="false">IF(A2="","","")</f>
        <v/>
      </c>
      <c r="M2" s="10" t="str">
        <f aca="false">IF(A2="","","")</f>
        <v/>
      </c>
      <c r="O2" s="11" t="s">
        <v>17</v>
      </c>
      <c r="P2" s="9" t="n">
        <v>1000</v>
      </c>
      <c r="Q2" s="9" t="n">
        <v>2000</v>
      </c>
      <c r="R2" s="9" t="n">
        <v>10000</v>
      </c>
      <c r="S2" s="12" t="n">
        <v>123.45</v>
      </c>
    </row>
    <row r="3" customFormat="false" ht="36" hidden="false" customHeight="true" outlineLevel="0" collapsed="false">
      <c r="A3" s="4" t="n">
        <v>46300</v>
      </c>
      <c r="B3" s="5" t="s">
        <v>17</v>
      </c>
      <c r="C3" s="5" t="s">
        <v>21</v>
      </c>
      <c r="D3" s="6" t="n">
        <v>9900</v>
      </c>
      <c r="E3" s="5" t="s">
        <v>19</v>
      </c>
      <c r="F3" s="5" t="s">
        <v>20</v>
      </c>
      <c r="G3" s="7" t="n">
        <v>3</v>
      </c>
      <c r="H3" s="8" t="n">
        <v>60</v>
      </c>
      <c r="I3" s="7" t="n">
        <v>180</v>
      </c>
      <c r="J3" s="7" t="n">
        <v>0</v>
      </c>
      <c r="K3" s="9" t="n">
        <f aca="false">IF(A3="","",SUMIFS(G3:$G$10000,B3:$B$10000,"="&amp;SUBSTITUTE(SUBSTITUTE(SUBSTITUTE(B3,"~","~~"),"*","~*"),"?","~?"),D3:$D$10000,"="&amp;SUBSTITUTE(SUBSTITUTE(SUBSTITUTE(D3,"~","~~"),"*","~*"),"?","~?"),E3:$E$10000,"="&amp;SUBSTITUTE(SUBSTITUTE(SUBSTITUTE(E3,"~","~~"),"*","~*"),"?","~?"),F3:$F$10000,"B")-SUMIFS(G3:$G$10000,B3:$B$10000,"="&amp;SUBSTITUTE(SUBSTITUTE(SUBSTITUTE(B3,"~","~~"),"*","~*"),"?","~?"),D3:$D$10000,"="&amp;SUBSTITUTE(SUBSTITUTE(SUBSTITUTE(D3,"~","~~"),"*","~*"),"?","~?"),E3:$E$10000,"="&amp;SUBSTITUTE(SUBSTITUTE(SUBSTITUTE(E3,"~","~~"),"*","~*"),"?","~?"),F3:$F$10000,"S"))</f>
        <v>5</v>
      </c>
      <c r="L3" s="9" t="n">
        <f aca="false">IF(A3="","",IF(K3=0,0,IF(F3="S",IFERROR(INDEX(L4:$L$10000,MATCH(1,INDEX((B4:$B$10000=B3)*(D4:$D$10000=D3)*(E4:$E$10000=E3),0),0)),0),ROUNDUP((((K3-G3)*IFERROR(INDEX(L4:$L$10000,MATCH(1,INDEX((B4:$B$10000=B3)*(D4:$D$10000=D3)*(E4:$E$10000=E3),0),0)),0)/1)+I3)/K3*1,0))))</f>
        <v>51</v>
      </c>
      <c r="M3" s="10" t="n">
        <f aca="false">IF(A3="","",IF(F3="S",I3-IFERROR(INDEX(L4:$L$10000,MATCH(1,INDEX((B4:$B$10000=B3)*(D4:$D$10000=D3)*(E4:$E$10000=E3),0),0)),0)/1*G3,0))</f>
        <v>27</v>
      </c>
      <c r="O3" s="11" t="s">
        <v>22</v>
      </c>
      <c r="P3" s="9" t="n">
        <v>1001</v>
      </c>
      <c r="Q3" s="9" t="n">
        <v>2001</v>
      </c>
      <c r="R3" s="9" t="n">
        <v>0</v>
      </c>
      <c r="S3" s="12" t="n">
        <v>0</v>
      </c>
    </row>
    <row r="4" customFormat="false" ht="36" hidden="false" customHeight="true" outlineLevel="0" collapsed="false">
      <c r="A4" s="3" t="n">
        <v>46299</v>
      </c>
      <c r="B4" s="11" t="s">
        <v>17</v>
      </c>
      <c r="C4" s="11" t="s">
        <v>21</v>
      </c>
      <c r="D4" s="13" t="n">
        <v>9900</v>
      </c>
      <c r="E4" s="11" t="s">
        <v>19</v>
      </c>
      <c r="F4" s="11" t="s">
        <v>23</v>
      </c>
      <c r="G4" s="9" t="n">
        <v>4</v>
      </c>
      <c r="H4" s="14" t="n">
        <v>0</v>
      </c>
      <c r="I4" s="9" t="n">
        <v>0</v>
      </c>
      <c r="J4" s="9" t="n">
        <v>0</v>
      </c>
      <c r="K4" s="9" t="n">
        <f aca="false">IF(A4="","",SUMIFS(G4:$G$10000,B4:$B$10000,"="&amp;SUBSTITUTE(SUBSTITUTE(SUBSTITUTE(B4,"~","~~"),"*","~*"),"?","~?"),D4:$D$10000,"="&amp;SUBSTITUTE(SUBSTITUTE(SUBSTITUTE(D4,"~","~~"),"*","~*"),"?","~?"),E4:$E$10000,"="&amp;SUBSTITUTE(SUBSTITUTE(SUBSTITUTE(E4,"~","~~"),"*","~*"),"?","~?"),F4:$F$10000,"B")-SUMIFS(G4:$G$10000,B4:$B$10000,"="&amp;SUBSTITUTE(SUBSTITUTE(SUBSTITUTE(B4,"~","~~"),"*","~*"),"?","~?"),D4:$D$10000,"="&amp;SUBSTITUTE(SUBSTITUTE(SUBSTITUTE(D4,"~","~~"),"*","~*"),"?","~?"),E4:$E$10000,"="&amp;SUBSTITUTE(SUBSTITUTE(SUBSTITUTE(E4,"~","~~"),"*","~*"),"?","~?"),F4:$F$10000,"S"))</f>
        <v>8</v>
      </c>
      <c r="L4" s="9" t="n">
        <f aca="false">IF(A4="","",IF(K4=0,0,IF(F4="S",IFERROR(INDEX(L5:$L$10000,MATCH(1,INDEX((B5:$B$10000=B4)*(D5:$D$10000=D4)*(E5:$E$10000=E4),0),0)),0),ROUNDUP((((K4-G4)*IFERROR(INDEX(L5:$L$10000,MATCH(1,INDEX((B5:$B$10000=B4)*(D5:$D$10000=D4)*(E5:$E$10000=E4),0),0)),0)/1)+I4)/K4*1,0))))</f>
        <v>51</v>
      </c>
      <c r="M4" s="10" t="n">
        <f aca="false">IF(A4="","",IF(F4="S",I4-IFERROR(INDEX(L5:$L$10000,MATCH(1,INDEX((B5:$B$10000=B4)*(D5:$D$10000=D4)*(E5:$E$10000=E4),0),0)),0)/1*G4,0))</f>
        <v>0</v>
      </c>
      <c r="O4" s="11" t="s">
        <v>24</v>
      </c>
      <c r="P4" s="9" t="n">
        <v>1002</v>
      </c>
      <c r="Q4" s="9" t="n">
        <v>2002</v>
      </c>
      <c r="R4" s="9" t="n">
        <v>10002</v>
      </c>
      <c r="S4" s="12" t="n">
        <v>125.45</v>
      </c>
    </row>
    <row r="5" customFormat="false" ht="36" hidden="false" customHeight="true" outlineLevel="0" collapsed="false">
      <c r="A5" s="15" t="n">
        <v>46298</v>
      </c>
      <c r="B5" s="16" t="s">
        <v>17</v>
      </c>
      <c r="C5" s="16" t="s">
        <v>21</v>
      </c>
      <c r="D5" s="17" t="n">
        <v>9900</v>
      </c>
      <c r="E5" s="16" t="s">
        <v>19</v>
      </c>
      <c r="F5" s="16" t="s">
        <v>23</v>
      </c>
      <c r="G5" s="18" t="n">
        <v>2</v>
      </c>
      <c r="H5" s="19" t="n">
        <v>102.5</v>
      </c>
      <c r="I5" s="18" t="n">
        <v>205</v>
      </c>
      <c r="J5" s="18" t="n">
        <v>0</v>
      </c>
      <c r="K5" s="9" t="n">
        <f aca="false">IF(A5="","",SUMIFS(G5:$G$10000,B5:$B$10000,"="&amp;SUBSTITUTE(SUBSTITUTE(SUBSTITUTE(B5,"~","~~"),"*","~*"),"?","~?"),D5:$D$10000,"="&amp;SUBSTITUTE(SUBSTITUTE(SUBSTITUTE(D5,"~","~~"),"*","~*"),"?","~?"),E5:$E$10000,"="&amp;SUBSTITUTE(SUBSTITUTE(SUBSTITUTE(E5,"~","~~"),"*","~*"),"?","~?"),F5:$F$10000,"B")-SUMIFS(G5:$G$10000,B5:$B$10000,"="&amp;SUBSTITUTE(SUBSTITUTE(SUBSTITUTE(B5,"~","~~"),"*","~*"),"?","~?"),D5:$D$10000,"="&amp;SUBSTITUTE(SUBSTITUTE(SUBSTITUTE(D5,"~","~~"),"*","~*"),"?","~?"),E5:$E$10000,"="&amp;SUBSTITUTE(SUBSTITUTE(SUBSTITUTE(E5,"~","~~"),"*","~*"),"?","~?"),F5:$F$10000,"S"))</f>
        <v>4</v>
      </c>
      <c r="L5" s="9" t="n">
        <f aca="false">IF(A5="","",IF(K5=0,0,IF(F5="S",IFERROR(INDEX(L6:$L$10000,MATCH(1,INDEX((B6:$B$10000=B5)*(D6:$D$10000=D5)*(E6:$E$10000=E5),0),0)),0),ROUNDUP((((K5-G5)*IFERROR(INDEX(L6:$L$10000,MATCH(1,INDEX((B6:$B$10000=B5)*(D6:$D$10000=D5)*(E6:$E$10000=E5),0),0)),0)/1)+I5)/K5*1,0))))</f>
        <v>102</v>
      </c>
      <c r="M5" s="10" t="n">
        <f aca="false">IF(A5="","",IF(F5="S",I5-IFERROR(INDEX(L6:$L$10000,MATCH(1,INDEX((B6:$B$10000=B5)*(D6:$D$10000=D5)*(E6:$E$10000=E5),0),0)),0)/1*G5,0))</f>
        <v>0</v>
      </c>
      <c r="O5" s="11" t="s">
        <v>25</v>
      </c>
      <c r="P5" s="9" t="n">
        <v>1003</v>
      </c>
      <c r="Q5" s="9" t="n">
        <v>2003</v>
      </c>
      <c r="R5" s="9" t="n">
        <v>10003</v>
      </c>
      <c r="S5" s="12"/>
    </row>
    <row r="6" customFormat="false" ht="36" hidden="false" customHeight="true" outlineLevel="0" collapsed="false">
      <c r="A6" s="4" t="n">
        <v>46297</v>
      </c>
      <c r="B6" s="5" t="s">
        <v>24</v>
      </c>
      <c r="C6" s="5" t="s">
        <v>26</v>
      </c>
      <c r="D6" s="6" t="n">
        <v>9903</v>
      </c>
      <c r="E6" s="5" t="s">
        <v>19</v>
      </c>
      <c r="F6" s="5" t="s">
        <v>20</v>
      </c>
      <c r="G6" s="7" t="n">
        <v>10000</v>
      </c>
      <c r="H6" s="8" t="n">
        <v>10500</v>
      </c>
      <c r="I6" s="7" t="n">
        <v>10500</v>
      </c>
      <c r="J6" s="7" t="n">
        <v>0</v>
      </c>
      <c r="K6" s="9" t="n">
        <f aca="false">IF(A6="","",SUMIFS(G6:$G$10000,B6:$B$10000,"="&amp;SUBSTITUTE(SUBSTITUTE(SUBSTITUTE(B6,"~","~~"),"*","~*"),"?","~?"),D6:$D$10000,"="&amp;SUBSTITUTE(SUBSTITUTE(SUBSTITUTE(D6,"~","~~"),"*","~*"),"?","~?"),E6:$E$10000,"="&amp;SUBSTITUTE(SUBSTITUTE(SUBSTITUTE(E6,"~","~~"),"*","~*"),"?","~?"),F6:$F$10000,"B")-SUMIFS(G6:$G$10000,B6:$B$10000,"="&amp;SUBSTITUTE(SUBSTITUTE(SUBSTITUTE(B6,"~","~~"),"*","~*"),"?","~?"),D6:$D$10000,"="&amp;SUBSTITUTE(SUBSTITUTE(SUBSTITUTE(D6,"~","~~"),"*","~*"),"?","~?"),E6:$E$10000,"="&amp;SUBSTITUTE(SUBSTITUTE(SUBSTITUTE(E6,"~","~~"),"*","~*"),"?","~?"),F6:$F$10000,"S"))</f>
        <v>10000</v>
      </c>
      <c r="L6" s="9" t="n">
        <f aca="false">IF(A6="","",IF(K6=0,0,IF(F6="S",IFERROR(INDEX(L7:$L$10000,MATCH(1,INDEX((B7:$B$10000=B6)*(D7:$D$10000=D6)*(E7:$E$10000=E6),0),0)),0),ROUNDUP((((K6-G6)*IFERROR(INDEX(L7:$L$10000,MATCH(1,INDEX((B7:$B$10000=B6)*(D7:$D$10000=D6)*(E7:$E$10000=E6),0),0)),0)/10000)+I6)/K6*10000,0))))</f>
        <v>10002</v>
      </c>
      <c r="M6" s="10" t="n">
        <f aca="false">IF(A6="","",IF(F6="S",I6-IFERROR(INDEX(L7:$L$10000,MATCH(1,INDEX((B7:$B$10000=B6)*(D7:$D$10000=D6)*(E7:$E$10000=E6),0),0)),0)/10000*G6,0))</f>
        <v>498</v>
      </c>
      <c r="O6" s="11" t="s">
        <v>27</v>
      </c>
      <c r="P6" s="9"/>
      <c r="Q6" s="9"/>
      <c r="R6" s="9"/>
      <c r="S6" s="12"/>
    </row>
    <row r="7" customFormat="false" ht="36" hidden="false" customHeight="true" outlineLevel="0" collapsed="false">
      <c r="A7" s="4" t="n">
        <v>46297</v>
      </c>
      <c r="B7" s="5" t="s">
        <v>22</v>
      </c>
      <c r="C7" s="5" t="s">
        <v>28</v>
      </c>
      <c r="D7" s="6" t="n">
        <v>9902</v>
      </c>
      <c r="E7" s="5" t="s">
        <v>19</v>
      </c>
      <c r="F7" s="5" t="s">
        <v>20</v>
      </c>
      <c r="G7" s="7" t="n">
        <v>1</v>
      </c>
      <c r="H7" s="8" t="n">
        <v>120</v>
      </c>
      <c r="I7" s="7" t="n">
        <v>120</v>
      </c>
      <c r="J7" s="7" t="n">
        <v>0</v>
      </c>
      <c r="K7" s="9" t="n">
        <f aca="false">IF(A7="","",SUMIFS(G7:$G$10000,B7:$B$10000,"="&amp;SUBSTITUTE(SUBSTITUTE(SUBSTITUTE(B7,"~","~~"),"*","~*"),"?","~?"),D7:$D$10000,"="&amp;SUBSTITUTE(SUBSTITUTE(SUBSTITUTE(D7,"~","~~"),"*","~*"),"?","~?"),E7:$E$10000,"="&amp;SUBSTITUTE(SUBSTITUTE(SUBSTITUTE(E7,"~","~~"),"*","~*"),"?","~?"),F7:$F$10000,"B")-SUMIFS(G7:$G$10000,B7:$B$10000,"="&amp;SUBSTITUTE(SUBSTITUTE(SUBSTITUTE(B7,"~","~~"),"*","~*"),"?","~?"),D7:$D$10000,"="&amp;SUBSTITUTE(SUBSTITUTE(SUBSTITUTE(D7,"~","~~"),"*","~*"),"?","~?"),E7:$E$10000,"="&amp;SUBSTITUTE(SUBSTITUTE(SUBSTITUTE(E7,"~","~~"),"*","~*"),"?","~?"),F7:$F$10000,"S"))</f>
        <v>3</v>
      </c>
      <c r="L7" s="9" t="n">
        <f aca="false">IF(A7="","",IF(K7=0,0,IF(F7="S",IFERROR(INDEX(L8:$L$10000,MATCH(1,INDEX((B8:$B$10000=B7)*(D8:$D$10000=D7)*(E8:$E$10000=E7),0),0)),0),ROUNDUP((((K7-G7)*IFERROR(INDEX(L8:$L$10000,MATCH(1,INDEX((B8:$B$10000=B7)*(D8:$D$10000=D7)*(E8:$E$10000=E7),0),0)),0)/1)+I7)/K7*1,0))))</f>
        <v>101</v>
      </c>
      <c r="M7" s="10" t="n">
        <f aca="false">IF(A7="","",IF(F7="S",I7-IFERROR(INDEX(L8:$L$10000,MATCH(1,INDEX((B8:$B$10000=B7)*(D8:$D$10000=D7)*(E8:$E$10000=E7),0),0)),0)/1*G7,0))</f>
        <v>19</v>
      </c>
    </row>
    <row r="8" customFormat="false" ht="36" hidden="false" customHeight="true" outlineLevel="0" collapsed="false">
      <c r="A8" s="4" t="n">
        <v>46297</v>
      </c>
      <c r="B8" s="5" t="s">
        <v>17</v>
      </c>
      <c r="C8" s="5" t="s">
        <v>21</v>
      </c>
      <c r="D8" s="6" t="n">
        <v>9900</v>
      </c>
      <c r="E8" s="5" t="s">
        <v>19</v>
      </c>
      <c r="F8" s="5" t="s">
        <v>20</v>
      </c>
      <c r="G8" s="7" t="n">
        <v>2</v>
      </c>
      <c r="H8" s="8" t="n">
        <v>120</v>
      </c>
      <c r="I8" s="7" t="n">
        <v>240</v>
      </c>
      <c r="J8" s="7" t="n">
        <v>0</v>
      </c>
      <c r="K8" s="9" t="n">
        <f aca="false">IF(A8="","",SUMIFS(G8:$G$10000,B8:$B$10000,"="&amp;SUBSTITUTE(SUBSTITUTE(SUBSTITUTE(B8,"~","~~"),"*","~*"),"?","~?"),D8:$D$10000,"="&amp;SUBSTITUTE(SUBSTITUTE(SUBSTITUTE(D8,"~","~~"),"*","~*"),"?","~?"),E8:$E$10000,"="&amp;SUBSTITUTE(SUBSTITUTE(SUBSTITUTE(E8,"~","~~"),"*","~*"),"?","~?"),F8:$F$10000,"B")-SUMIFS(G8:$G$10000,B8:$B$10000,"="&amp;SUBSTITUTE(SUBSTITUTE(SUBSTITUTE(B8,"~","~~"),"*","~*"),"?","~?"),D8:$D$10000,"="&amp;SUBSTITUTE(SUBSTITUTE(SUBSTITUTE(D8,"~","~~"),"*","~*"),"?","~?"),E8:$E$10000,"="&amp;SUBSTITUTE(SUBSTITUTE(SUBSTITUTE(E8,"~","~~"),"*","~*"),"?","~?"),F8:$F$10000,"S"))</f>
        <v>2</v>
      </c>
      <c r="L8" s="9" t="n">
        <f aca="false">IF(A8="","",IF(K8=0,0,IF(F8="S",IFERROR(INDEX(L9:$L$10000,MATCH(1,INDEX((B9:$B$10000=B8)*(D9:$D$10000=D8)*(E9:$E$10000=E8),0),0)),0),ROUNDUP((((K8-G8)*IFERROR(INDEX(L9:$L$10000,MATCH(1,INDEX((B9:$B$10000=B8)*(D9:$D$10000=D8)*(E9:$E$10000=E8),0),0)),0)/1)+I8)/K8*1,0))))</f>
        <v>101</v>
      </c>
      <c r="M8" s="10" t="n">
        <f aca="false">IF(A8="","",IF(F8="S",I8-IFERROR(INDEX(L9:$L$10000,MATCH(1,INDEX((B9:$B$10000=B8)*(D9:$D$10000=D8)*(E9:$E$10000=E8),0),0)),0)/1*G8,0))</f>
        <v>38</v>
      </c>
    </row>
    <row r="9" customFormat="false" ht="36" hidden="false" customHeight="true" outlineLevel="0" collapsed="false">
      <c r="A9" s="15" t="n">
        <v>46297</v>
      </c>
      <c r="B9" s="16" t="s">
        <v>22</v>
      </c>
      <c r="C9" s="16" t="s">
        <v>28</v>
      </c>
      <c r="D9" s="17" t="n">
        <v>9902</v>
      </c>
      <c r="E9" s="16" t="s">
        <v>19</v>
      </c>
      <c r="F9" s="16" t="s">
        <v>23</v>
      </c>
      <c r="G9" s="18" t="n">
        <v>3</v>
      </c>
      <c r="H9" s="19" t="n">
        <v>100.333333333333</v>
      </c>
      <c r="I9" s="18" t="n">
        <v>301</v>
      </c>
      <c r="J9" s="18" t="n">
        <v>0</v>
      </c>
      <c r="K9" s="9" t="n">
        <f aca="false">IF(A9="","",SUMIFS(G9:$G$10000,B9:$B$10000,"="&amp;SUBSTITUTE(SUBSTITUTE(SUBSTITUTE(B9,"~","~~"),"*","~*"),"?","~?"),D9:$D$10000,"="&amp;SUBSTITUTE(SUBSTITUTE(SUBSTITUTE(D9,"~","~~"),"*","~*"),"?","~?"),E9:$E$10000,"="&amp;SUBSTITUTE(SUBSTITUTE(SUBSTITUTE(E9,"~","~~"),"*","~*"),"?","~?"),F9:$F$10000,"B")-SUMIFS(G9:$G$10000,B9:$B$10000,"="&amp;SUBSTITUTE(SUBSTITUTE(SUBSTITUTE(B9,"~","~~"),"*","~*"),"?","~?"),D9:$D$10000,"="&amp;SUBSTITUTE(SUBSTITUTE(SUBSTITUTE(D9,"~","~~"),"*","~*"),"?","~?"),E9:$E$10000,"="&amp;SUBSTITUTE(SUBSTITUTE(SUBSTITUTE(E9,"~","~~"),"*","~*"),"?","~?"),F9:$F$10000,"S"))</f>
        <v>4</v>
      </c>
      <c r="L9" s="9" t="n">
        <f aca="false">IF(A9="","",IF(K9=0,0,IF(F9="S",IFERROR(INDEX(L10:$L$10000,MATCH(1,INDEX((B10:$B$10000=B9)*(D10:$D$10000=D9)*(E10:$E$10000=E9),0),0)),0),ROUNDUP((((K9-G9)*IFERROR(INDEX(L10:$L$10000,MATCH(1,INDEX((B10:$B$10000=B9)*(D10:$D$10000=D9)*(E10:$E$10000=E9),0),0)),0)/1)+I9)/K9*1,0))))</f>
        <v>101</v>
      </c>
      <c r="M9" s="10" t="n">
        <f aca="false">IF(A9="","",IF(F9="S",I9-IFERROR(INDEX(L10:$L$10000,MATCH(1,INDEX((B10:$B$10000=B9)*(D10:$D$10000=D9)*(E10:$E$10000=E9),0),0)),0)/1*G9,0))</f>
        <v>0</v>
      </c>
    </row>
    <row r="10" customFormat="false" ht="36" hidden="false" customHeight="true" outlineLevel="0" collapsed="false">
      <c r="A10" s="15" t="n">
        <v>46296</v>
      </c>
      <c r="B10" s="16" t="s">
        <v>24</v>
      </c>
      <c r="C10" s="16" t="s">
        <v>26</v>
      </c>
      <c r="D10" s="17" t="n">
        <v>9903</v>
      </c>
      <c r="E10" s="16" t="s">
        <v>19</v>
      </c>
      <c r="F10" s="16" t="s">
        <v>23</v>
      </c>
      <c r="G10" s="18" t="n">
        <v>20000</v>
      </c>
      <c r="H10" s="19" t="n">
        <v>10002</v>
      </c>
      <c r="I10" s="18" t="n">
        <v>20004</v>
      </c>
      <c r="J10" s="18" t="n">
        <v>0</v>
      </c>
      <c r="K10" s="9" t="n">
        <f aca="false">IF(A10="","",SUMIFS(G10:$G$10000,B10:$B$10000,"="&amp;SUBSTITUTE(SUBSTITUTE(SUBSTITUTE(B10,"~","~~"),"*","~*"),"?","~?"),D10:$D$10000,"="&amp;SUBSTITUTE(SUBSTITUTE(SUBSTITUTE(D10,"~","~~"),"*","~*"),"?","~?"),E10:$E$10000,"="&amp;SUBSTITUTE(SUBSTITUTE(SUBSTITUTE(E10,"~","~~"),"*","~*"),"?","~?"),F10:$F$10000,"B")-SUMIFS(G10:$G$10000,B10:$B$10000,"="&amp;SUBSTITUTE(SUBSTITUTE(SUBSTITUTE(B10,"~","~~"),"*","~*"),"?","~?"),D10:$D$10000,"="&amp;SUBSTITUTE(SUBSTITUTE(SUBSTITUTE(D10,"~","~~"),"*","~*"),"?","~?"),E10:$E$10000,"="&amp;SUBSTITUTE(SUBSTITUTE(SUBSTITUTE(E10,"~","~~"),"*","~*"),"?","~?"),F10:$F$10000,"S"))</f>
        <v>20000</v>
      </c>
      <c r="L10" s="9" t="n">
        <f aca="false">IF(A10="","",IF(K10=0,0,IF(F10="S",IFERROR(INDEX(L11:$L$10000,MATCH(1,INDEX((B11:$B$10000=B10)*(D11:$D$10000=D10)*(E11:$E$10000=E10),0),0)),0),ROUNDUP((((K10-G10)*IFERROR(INDEX(L11:$L$10000,MATCH(1,INDEX((B11:$B$10000=B10)*(D11:$D$10000=D10)*(E11:$E$10000=E10),0),0)),0)/10000)+I10)/K10*10000,0))))</f>
        <v>10002</v>
      </c>
      <c r="M10" s="10" t="n">
        <f aca="false">IF(A10="","",IF(F10="S",I10-IFERROR(INDEX(L11:$L$10000,MATCH(1,INDEX((B11:$B$10000=B10)*(D11:$D$10000=D10)*(E11:$E$10000=E10),0),0)),0)/10000*G10,0))</f>
        <v>0</v>
      </c>
    </row>
    <row r="11" customFormat="false" ht="36" hidden="false" customHeight="true" outlineLevel="0" collapsed="false">
      <c r="A11" s="15" t="n">
        <v>46296</v>
      </c>
      <c r="B11" s="16" t="s">
        <v>22</v>
      </c>
      <c r="C11" s="16" t="s">
        <v>28</v>
      </c>
      <c r="D11" s="17" t="n">
        <v>9902</v>
      </c>
      <c r="E11" s="16" t="s">
        <v>19</v>
      </c>
      <c r="F11" s="16" t="s">
        <v>23</v>
      </c>
      <c r="G11" s="18" t="n">
        <v>1</v>
      </c>
      <c r="H11" s="19" t="n">
        <v>100</v>
      </c>
      <c r="I11" s="18" t="n">
        <v>100</v>
      </c>
      <c r="J11" s="18" t="n">
        <v>0</v>
      </c>
      <c r="K11" s="9" t="n">
        <f aca="false">IF(A11="","",SUMIFS(G11:$G$10000,B11:$B$10000,"="&amp;SUBSTITUTE(SUBSTITUTE(SUBSTITUTE(B11,"~","~~"),"*","~*"),"?","~?"),D11:$D$10000,"="&amp;SUBSTITUTE(SUBSTITUTE(SUBSTITUTE(D11,"~","~~"),"*","~*"),"?","~?"),E11:$E$10000,"="&amp;SUBSTITUTE(SUBSTITUTE(SUBSTITUTE(E11,"~","~~"),"*","~*"),"?","~?"),F11:$F$10000,"B")-SUMIFS(G11:$G$10000,B11:$B$10000,"="&amp;SUBSTITUTE(SUBSTITUTE(SUBSTITUTE(B11,"~","~~"),"*","~*"),"?","~?"),D11:$D$10000,"="&amp;SUBSTITUTE(SUBSTITUTE(SUBSTITUTE(D11,"~","~~"),"*","~*"),"?","~?"),E11:$E$10000,"="&amp;SUBSTITUTE(SUBSTITUTE(SUBSTITUTE(E11,"~","~~"),"*","~*"),"?","~?"),F11:$F$10000,"S"))</f>
        <v>1</v>
      </c>
      <c r="L11" s="9" t="n">
        <f aca="false">IF(A11="","",IF(K11=0,0,IF(F11="S",IFERROR(INDEX(L12:$L$10000,MATCH(1,INDEX((B12:$B$10000=B11)*(D12:$D$10000=D11)*(E12:$E$10000=E11),0),0)),0),ROUNDUP((((K11-G11)*IFERROR(INDEX(L12:$L$10000,MATCH(1,INDEX((B12:$B$10000=B11)*(D12:$D$10000=D11)*(E12:$E$10000=E11),0),0)),0)/1)+I11)/K11*1,0))))</f>
        <v>100</v>
      </c>
      <c r="M11" s="10" t="n">
        <f aca="false">IF(A11="","",IF(F11="S",I11-IFERROR(INDEX(L12:$L$10000,MATCH(1,INDEX((B12:$B$10000=B11)*(D12:$D$10000=D11)*(E12:$E$10000=E11),0),0)),0)/1*G11,0))</f>
        <v>0</v>
      </c>
    </row>
    <row r="12" customFormat="false" ht="36" hidden="false" customHeight="true" outlineLevel="0" collapsed="false">
      <c r="A12" s="15" t="n">
        <v>46296</v>
      </c>
      <c r="B12" s="16" t="s">
        <v>17</v>
      </c>
      <c r="C12" s="16" t="s">
        <v>21</v>
      </c>
      <c r="D12" s="17" t="n">
        <v>9900</v>
      </c>
      <c r="E12" s="16" t="s">
        <v>19</v>
      </c>
      <c r="F12" s="16" t="s">
        <v>23</v>
      </c>
      <c r="G12" s="18" t="n">
        <v>4</v>
      </c>
      <c r="H12" s="19" t="n">
        <v>101</v>
      </c>
      <c r="I12" s="18" t="n">
        <v>404</v>
      </c>
      <c r="J12" s="18" t="n">
        <v>0</v>
      </c>
      <c r="K12" s="9" t="n">
        <f aca="false">IF(A12="","",SUMIFS(G12:$G$10000,B12:$B$10000,"="&amp;SUBSTITUTE(SUBSTITUTE(SUBSTITUTE(B12,"~","~~"),"*","~*"),"?","~?"),D12:$D$10000,"="&amp;SUBSTITUTE(SUBSTITUTE(SUBSTITUTE(D12,"~","~~"),"*","~*"),"?","~?"),E12:$E$10000,"="&amp;SUBSTITUTE(SUBSTITUTE(SUBSTITUTE(E12,"~","~~"),"*","~*"),"?","~?"),F12:$F$10000,"B")-SUMIFS(G12:$G$10000,B12:$B$10000,"="&amp;SUBSTITUTE(SUBSTITUTE(SUBSTITUTE(B12,"~","~~"),"*","~*"),"?","~?"),D12:$D$10000,"="&amp;SUBSTITUTE(SUBSTITUTE(SUBSTITUTE(D12,"~","~~"),"*","~*"),"?","~?"),E12:$E$10000,"="&amp;SUBSTITUTE(SUBSTITUTE(SUBSTITUTE(E12,"~","~~"),"*","~*"),"?","~?"),F12:$F$10000,"S"))</f>
        <v>4</v>
      </c>
      <c r="L12" s="9" t="n">
        <f aca="false">IF(A12="","",IF(K12=0,0,IF(F12="S",IFERROR(INDEX(L13:$L$10000,MATCH(1,INDEX((B13:$B$10000=B12)*(D13:$D$10000=D12)*(E13:$E$10000=E12),0),0)),0),ROUNDUP((((K12-G12)*IFERROR(INDEX(L13:$L$10000,MATCH(1,INDEX((B13:$B$10000=B12)*(D13:$D$10000=D12)*(E13:$E$10000=E12),0),0)),0)/1)+I12)/K12*1,0))))</f>
        <v>101</v>
      </c>
      <c r="M12" s="10" t="n">
        <f aca="false">IF(A12="","",IF(F12="S",I12-IFERROR(INDEX(L13:$L$10000,MATCH(1,INDEX((B13:$B$10000=B12)*(D13:$D$10000=D12)*(E13:$E$10000=E12),0),0)),0)/1*G12,0))</f>
        <v>0</v>
      </c>
    </row>
  </sheetData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5078125" defaultRowHeight="24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9"/>
    <col collapsed="false" customWidth="true" hidden="false" outlineLevel="0" max="10" min="10" style="0" width="3"/>
    <col collapsed="false" customWidth="true" hidden="false" outlineLevel="0" max="11" min="11" style="0" width="13"/>
    <col collapsed="false" customWidth="true" hidden="false" outlineLevel="0" max="12" min="12" style="0" width="30"/>
    <col collapsed="false" customWidth="true" hidden="false" outlineLevel="0" max="15" min="13" style="0" width="18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4"/>
    <col collapsed="false" customWidth="true" hidden="false" outlineLevel="0" max="19" min="19" style="0" width="16"/>
    <col collapsed="false" customWidth="true" hidden="false" outlineLevel="0" max="22" min="20" style="0" width="18"/>
    <col collapsed="false" customWidth="true" hidden="false" outlineLevel="0" max="23" min="23" style="0" width="42"/>
    <col collapsed="false" customWidth="true" hidden="false" outlineLevel="0" max="25" min="24" style="0" width="18"/>
  </cols>
  <sheetData>
    <row r="1" customFormat="fals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  <c r="G1" s="1" t="s">
        <v>6</v>
      </c>
      <c r="H1" s="1" t="s">
        <v>7</v>
      </c>
      <c r="I1" s="1" t="s">
        <v>30</v>
      </c>
      <c r="K1" s="1" t="s">
        <v>3</v>
      </c>
      <c r="L1" s="1" t="s">
        <v>2</v>
      </c>
      <c r="M1" s="1" t="s">
        <v>31</v>
      </c>
      <c r="N1" s="1" t="s">
        <v>32</v>
      </c>
      <c r="O1" s="1" t="s">
        <v>33</v>
      </c>
      <c r="P1" s="1" t="s">
        <v>34</v>
      </c>
      <c r="Q1" s="1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</row>
    <row r="2" customFormat="false" ht="36" hidden="false" customHeight="true" outlineLevel="0" collapsed="false">
      <c r="A2" s="20" t="n">
        <v>46316</v>
      </c>
      <c r="B2" s="11" t="s">
        <v>27</v>
      </c>
      <c r="C2" s="21"/>
      <c r="D2" s="13"/>
      <c r="E2" s="11"/>
      <c r="F2" s="1" t="s">
        <v>44</v>
      </c>
      <c r="G2" s="21"/>
      <c r="H2" s="21"/>
      <c r="I2" s="22" t="n">
        <v>5</v>
      </c>
      <c r="K2" s="13" t="n">
        <v>9900</v>
      </c>
      <c r="L2" s="11" t="s">
        <v>21</v>
      </c>
      <c r="M2" s="11" t="s">
        <v>45</v>
      </c>
      <c r="N2" s="21" t="s">
        <v>46</v>
      </c>
      <c r="O2" s="21" t="s">
        <v>47</v>
      </c>
      <c r="P2" s="22" t="n">
        <f aca="false">IF(SUMIFS(取引!$G$2:$G$10000,取引!$D$2:$D$10000,K2,取引!$F$2:$F$10000,"B")-SUMIFS(取引!$G$2:$G$10000,取引!$D$2:$D$10000,K2,取引!$F$2:$F$10000,"S")&lt;0,"",SUMIFS(取引!$G$2:$G$10000,取引!$D$2:$D$10000,K2,取引!$F$2:$F$10000,"B")-SUMIFS(取引!$G$2:$G$10000,取引!$D$2:$D$10000,K2,取引!$F$2:$F$10000,"S"))</f>
        <v>5</v>
      </c>
      <c r="Q2" s="22" t="n">
        <v>4</v>
      </c>
      <c r="R2" s="23" t="n">
        <f aca="false">IF(AND(ISNUMBER(Q2),ISNUMBER(X2),X2&gt;0),Q2/X2,"")</f>
        <v>0.0266666666666667</v>
      </c>
      <c r="S2" s="22" t="n">
        <f aca="false">SUMIFS($I$2:$I$6,$D$2:$D$6,K2,$F$2:$F$6,"配当",$A$2:$A$6,"&gt;="&amp;DATE(2026,1,1),$A$2:$A$6,"&lt;"&amp;DATE(2027,1,1))</f>
        <v>15</v>
      </c>
      <c r="T2" s="22" t="n">
        <v>20</v>
      </c>
      <c r="U2" s="22" t="n">
        <f aca="false">IF(ISNUMBER(T2),SUM(S2:T2),"")</f>
        <v>35</v>
      </c>
      <c r="V2" s="22" t="n">
        <f aca="false">SUMIFS($I$2:$I$6,$D$2:$D$6,K2,$F$2:$F$6,"配当")</f>
        <v>15</v>
      </c>
      <c r="W2" s="24" t="s">
        <v>48</v>
      </c>
      <c r="X2" s="22" t="n">
        <v>150</v>
      </c>
      <c r="Y2" s="22" t="n">
        <v>155</v>
      </c>
    </row>
    <row r="3" customFormat="false" ht="36" hidden="false" customHeight="true" outlineLevel="0" collapsed="false">
      <c r="A3" s="20" t="n">
        <v>46315</v>
      </c>
      <c r="B3" s="11" t="s">
        <v>17</v>
      </c>
      <c r="C3" s="21"/>
      <c r="D3" s="13"/>
      <c r="E3" s="11"/>
      <c r="F3" s="1" t="s">
        <v>49</v>
      </c>
      <c r="G3" s="21"/>
      <c r="H3" s="21"/>
      <c r="I3" s="22" t="n">
        <v>20</v>
      </c>
      <c r="K3" s="13" t="n">
        <v>9901</v>
      </c>
      <c r="L3" s="11" t="s">
        <v>18</v>
      </c>
      <c r="M3" s="11"/>
      <c r="N3" s="21"/>
      <c r="O3" s="21"/>
      <c r="P3" s="22"/>
      <c r="Q3" s="21"/>
      <c r="R3" s="23" t="str">
        <f aca="false">IF(AND(ISNUMBER(Q3),ISNUMBER(X3),X3&gt;0),Q3/X3,"")</f>
        <v/>
      </c>
      <c r="S3" s="22" t="n">
        <f aca="false">SUMIFS($I$2:$I$6,$D$2:$D$6,K3,$F$2:$F$6,"配当",$A$2:$A$6,"&gt;="&amp;DATE(2026,1,1),$A$2:$A$6,"&lt;"&amp;DATE(2027,1,1))</f>
        <v>0</v>
      </c>
      <c r="T3" s="21"/>
      <c r="U3" s="22" t="str">
        <f aca="false">IF(ISNUMBER(T3),SUM(S3:T3),"")</f>
        <v/>
      </c>
      <c r="V3" s="22" t="n">
        <f aca="false">SUMIFS($I$2:$I$6,$D$2:$D$6,K3,$F$2:$F$6,"配当")</f>
        <v>0</v>
      </c>
      <c r="W3" s="24" t="s">
        <v>50</v>
      </c>
      <c r="X3" s="22"/>
      <c r="Y3" s="22"/>
    </row>
    <row r="4" customFormat="false" ht="36" hidden="false" customHeight="true" outlineLevel="0" collapsed="false">
      <c r="A4" s="20" t="n">
        <v>46310</v>
      </c>
      <c r="B4" s="11" t="s">
        <v>17</v>
      </c>
      <c r="C4" s="21" t="s">
        <v>21</v>
      </c>
      <c r="D4" s="13" t="n">
        <v>9900</v>
      </c>
      <c r="E4" s="11" t="s">
        <v>19</v>
      </c>
      <c r="F4" s="1" t="s">
        <v>51</v>
      </c>
      <c r="G4" s="22" t="n">
        <v>3</v>
      </c>
      <c r="H4" s="22" t="n">
        <v>5</v>
      </c>
      <c r="I4" s="22" t="n">
        <v>15</v>
      </c>
      <c r="K4" s="13" t="n">
        <v>9902</v>
      </c>
      <c r="L4" s="11" t="s">
        <v>28</v>
      </c>
      <c r="M4" s="11"/>
      <c r="N4" s="21"/>
      <c r="O4" s="21"/>
      <c r="P4" s="22" t="n">
        <f aca="false">IF(SUMIFS(取引!$G$2:$G$10000,取引!$D$2:$D$10000,K4,取引!$F$2:$F$10000,"B")-SUMIFS(取引!$G$2:$G$10000,取引!$D$2:$D$10000,K4,取引!$F$2:$F$10000,"S")&lt;0,"",SUMIFS(取引!$G$2:$G$10000,取引!$D$2:$D$10000,K4,取引!$F$2:$F$10000,"B")-SUMIFS(取引!$G$2:$G$10000,取引!$D$2:$D$10000,K4,取引!$F$2:$F$10000,"S"))</f>
        <v>3</v>
      </c>
      <c r="Q4" s="21"/>
      <c r="R4" s="23" t="str">
        <f aca="false">IF(AND(ISNUMBER(Q4),ISNUMBER(X4),X4&gt;0),Q4/X4,"")</f>
        <v/>
      </c>
      <c r="S4" s="22" t="n">
        <f aca="false">SUMIFS($I$2:$I$6,$D$2:$D$6,K4,$F$2:$F$6,"配当",$A$2:$A$6,"&gt;="&amp;DATE(2026,1,1),$A$2:$A$6,"&lt;"&amp;DATE(2027,1,1))</f>
        <v>0</v>
      </c>
      <c r="T4" s="21"/>
      <c r="U4" s="22" t="str">
        <f aca="false">IF(ISNUMBER(T4),SUM(S4:T4),"")</f>
        <v/>
      </c>
      <c r="V4" s="22" t="n">
        <f aca="false">SUMIFS($I$2:$I$6,$D$2:$D$6,K4,$F$2:$F$6,"配当")</f>
        <v>0</v>
      </c>
      <c r="W4" s="24" t="s">
        <v>50</v>
      </c>
      <c r="X4" s="22"/>
      <c r="Y4" s="22"/>
    </row>
    <row r="5" customFormat="false" ht="36" hidden="false" customHeight="true" outlineLevel="0" collapsed="false">
      <c r="A5" s="20" t="n">
        <v>45951</v>
      </c>
      <c r="B5" s="11" t="s">
        <v>25</v>
      </c>
      <c r="C5" s="21"/>
      <c r="D5" s="13"/>
      <c r="E5" s="11"/>
      <c r="F5" s="1" t="s">
        <v>44</v>
      </c>
      <c r="G5" s="21"/>
      <c r="H5" s="21"/>
      <c r="I5" s="22" t="n">
        <v>2</v>
      </c>
      <c r="K5" s="13" t="n">
        <v>9903</v>
      </c>
      <c r="L5" s="11" t="s">
        <v>26</v>
      </c>
      <c r="M5" s="11"/>
      <c r="N5" s="21"/>
      <c r="O5" s="21"/>
      <c r="P5" s="22" t="n">
        <f aca="false">IF(SUMIFS(取引!$G$2:$G$10000,取引!$D$2:$D$10000,K5,取引!$F$2:$F$10000,"B")-SUMIFS(取引!$G$2:$G$10000,取引!$D$2:$D$10000,K5,取引!$F$2:$F$10000,"S")&lt;0,"",SUMIFS(取引!$G$2:$G$10000,取引!$D$2:$D$10000,K5,取引!$F$2:$F$10000,"B")-SUMIFS(取引!$G$2:$G$10000,取引!$D$2:$D$10000,K5,取引!$F$2:$F$10000,"S"))</f>
        <v>10000</v>
      </c>
      <c r="Q5" s="21"/>
      <c r="R5" s="23" t="str">
        <f aca="false">IF(AND(ISNUMBER(Q5),ISNUMBER(X5),X5&gt;0),Q5/X5,"")</f>
        <v/>
      </c>
      <c r="S5" s="22" t="n">
        <f aca="false">SUMIFS($I$2:$I$6,$D$2:$D$6,K5,$F$2:$F$6,"配当",$A$2:$A$6,"&gt;="&amp;DATE(2026,1,1),$A$2:$A$6,"&lt;"&amp;DATE(2027,1,1))</f>
        <v>0</v>
      </c>
      <c r="T5" s="21"/>
      <c r="U5" s="22" t="str">
        <f aca="false">IF(ISNUMBER(T5),SUM(S5:T5),"")</f>
        <v/>
      </c>
      <c r="V5" s="22" t="n">
        <f aca="false">SUMIFS($I$2:$I$6,$D$2:$D$6,K5,$F$2:$F$6,"配当")</f>
        <v>0</v>
      </c>
      <c r="W5" s="24" t="s">
        <v>50</v>
      </c>
      <c r="X5" s="22"/>
      <c r="Y5" s="22"/>
    </row>
    <row r="6" customFormat="false" ht="36" hidden="false" customHeight="true" outlineLevel="0" collapsed="false">
      <c r="A6" s="20" t="n">
        <v>45950</v>
      </c>
      <c r="B6" s="11" t="s">
        <v>25</v>
      </c>
      <c r="C6" s="21"/>
      <c r="D6" s="13"/>
      <c r="E6" s="11"/>
      <c r="F6" s="1" t="s">
        <v>49</v>
      </c>
      <c r="G6" s="21"/>
      <c r="H6" s="21"/>
      <c r="I6" s="22" t="n">
        <v>7</v>
      </c>
      <c r="L6" s="1" t="s">
        <v>52</v>
      </c>
      <c r="S6" s="22" t="n">
        <f aca="false">SUM(S2:S5)</f>
        <v>15</v>
      </c>
      <c r="T6" s="22" t="str">
        <f aca="false">IF(COUNT(T2:T5)=4,SUM(T2:T5),"")</f>
        <v/>
      </c>
      <c r="U6" s="22" t="str">
        <f aca="false">IF(COUNT(U2:U5)=4,SUM(U2:U5),"")</f>
        <v/>
      </c>
      <c r="V6" s="22" t="n">
        <f aca="false">SUM(V2:V5)</f>
        <v>15</v>
      </c>
    </row>
    <row r="9" customFormat="false" ht="24" hidden="false" customHeight="true" outlineLevel="0" collapsed="false">
      <c r="K9" s="1" t="s">
        <v>53</v>
      </c>
      <c r="L9" s="1" t="s">
        <v>51</v>
      </c>
      <c r="M9" s="1" t="s">
        <v>49</v>
      </c>
      <c r="N9" s="24" t="s">
        <v>44</v>
      </c>
    </row>
    <row r="10" customFormat="false" ht="24" hidden="false" customHeight="true" outlineLevel="0" collapsed="false">
      <c r="K10" s="25" t="n">
        <v>2025</v>
      </c>
      <c r="L10" s="26" t="n">
        <f aca="false">SUMIFS($I$2:$I$6,$F$2:$F$6,"配当",$A$2:$A$6,"&gt;="&amp;DATE(K10,1,1),$A$2:$A$6,"&lt;"&amp;DATE(K10+1,1,1))</f>
        <v>0</v>
      </c>
      <c r="M10" s="26" t="n">
        <f aca="false">SUMIFS($I$2:$I$6,$F$2:$F$6,"税還",$A$2:$A$6,"&gt;="&amp;DATE(K10,1,1),$A$2:$A$6,"&lt;"&amp;DATE(K10+1,1,1))</f>
        <v>7</v>
      </c>
      <c r="N10" s="22" t="n">
        <f aca="false">SUMIFS($I$2:$I$6,$F$2:$F$6,"利息",$A$2:$A$6,"&gt;="&amp;DATE(K10,1,1),$A$2:$A$6,"&lt;"&amp;DATE(K10+1,1,1))</f>
        <v>2</v>
      </c>
    </row>
    <row r="11" customFormat="false" ht="24" hidden="false" customHeight="true" outlineLevel="0" collapsed="false">
      <c r="K11" s="25" t="n">
        <v>2026</v>
      </c>
      <c r="L11" s="26" t="n">
        <f aca="false">SUMIFS($I$2:$I$6,$F$2:$F$6,"配当",$A$2:$A$6,"&gt;="&amp;DATE(K11,1,1),$A$2:$A$6,"&lt;"&amp;DATE(K11+1,1,1))</f>
        <v>15</v>
      </c>
      <c r="M11" s="26" t="n">
        <f aca="false">SUMIFS($I$2:$I$6,$F$2:$F$6,"税還",$A$2:$A$6,"&gt;="&amp;DATE(K11,1,1),$A$2:$A$6,"&lt;"&amp;DATE(K11+1,1,1))</f>
        <v>20</v>
      </c>
      <c r="N11" s="22" t="n">
        <f aca="false">SUMIFS($I$2:$I$6,$F$2:$F$6,"利息",$A$2:$A$6,"&gt;="&amp;DATE(K11,1,1),$A$2:$A$6,"&lt;"&amp;DATE(K11+1,1,1))</f>
        <v>5</v>
      </c>
    </row>
    <row r="12" customFormat="false" ht="24" hidden="false" customHeight="true" outlineLevel="0" collapsed="false">
      <c r="K12" s="1" t="s">
        <v>54</v>
      </c>
      <c r="L12" s="26" t="n">
        <f aca="false">SUM(L10:L11)</f>
        <v>15</v>
      </c>
      <c r="M12" s="26" t="n">
        <f aca="false">SUM(M10:M11)</f>
        <v>27</v>
      </c>
      <c r="N12" s="22" t="n">
        <f aca="false">SUM(N10:N11)</f>
        <v>7</v>
      </c>
    </row>
    <row r="13" customFormat="false" ht="24" hidden="false" customHeight="true" outlineLevel="0" collapsed="false">
      <c r="K13" s="1" t="s">
        <v>55</v>
      </c>
      <c r="L13" s="26" t="n">
        <f aca="false">SUM(L12:N12)</f>
        <v>49</v>
      </c>
    </row>
    <row r="16" customFormat="false" ht="24" hidden="false" customHeight="true" outlineLevel="0" collapsed="false">
      <c r="K16" s="1" t="s">
        <v>56</v>
      </c>
    </row>
    <row r="17" customFormat="false" ht="24" hidden="false" customHeight="true" outlineLevel="0" collapsed="false">
      <c r="K17" s="3" t="n">
        <v>46310</v>
      </c>
      <c r="L17" s="11" t="s">
        <v>21</v>
      </c>
      <c r="M17" s="1" t="s">
        <v>32</v>
      </c>
      <c r="N17" s="27" t="n">
        <f aca="false">SUMIFS($I$2:$I$6,$D$2:$D$6,9900,$F$2:$F$6,"配当",$A$2:$A$6,K17)</f>
        <v>15</v>
      </c>
    </row>
    <row r="18" customFormat="false" ht="24" hidden="false" customHeight="true" outlineLevel="0" collapsed="false">
      <c r="K18" s="3" t="n">
        <v>46322</v>
      </c>
      <c r="L18" s="11" t="s">
        <v>21</v>
      </c>
      <c r="M18" s="1" t="s">
        <v>31</v>
      </c>
    </row>
    <row r="19" customFormat="false" ht="24" hidden="false" customHeight="true" outlineLevel="0" collapsed="false">
      <c r="K19" s="3" t="n">
        <v>46336</v>
      </c>
      <c r="L19" s="11" t="s">
        <v>21</v>
      </c>
      <c r="M19" s="1" t="s">
        <v>32</v>
      </c>
      <c r="N19" s="28" t="n">
        <v>20</v>
      </c>
    </row>
    <row r="20" customFormat="false" ht="24" hidden="false" customHeight="true" outlineLevel="0" collapsed="false">
      <c r="K20" s="3" t="n">
        <v>46337</v>
      </c>
      <c r="L20" s="11" t="s">
        <v>21</v>
      </c>
      <c r="M20" s="1" t="s">
        <v>33</v>
      </c>
    </row>
  </sheetData>
  <conditionalFormatting sqref="K17:N20">
    <cfRule type="expression" priority="2" aboveAverage="0" equalAverage="0" bottom="0" percent="0" rank="0" text="" dxfId="0">
      <formula>AND(ISNUMBER($K17),$K17&gt;=TODAY(),COUNTIF($K$17:$K17,"&gt;="&amp;TODAY())=1)</formula>
    </cfRule>
  </conditionalFormatting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2026-10-29T05:22:50Z</dcterms:created>
  <dc:creator>Synthetic financial fixture</dc:creator>
  <dc:description/>
  <dc:language>en-US</dc:language>
  <cp:lastModifiedBy>Synthetic financial fixture</cp:lastModifiedBy>
  <dcterms:modified xsi:type="dcterms:W3CDTF">2026-10-29T05:22:50Z</dcterms:modified>
  <cp:revision>0</cp:revision>
  <dc:subject>口座・取引・入金・残高はすべてテスト用の架空データです。</dc:subject>
  <dc:title>v3.6.0 出力見本（架空データ）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